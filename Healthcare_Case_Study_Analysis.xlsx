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CER\Downloads\US_Healthcare_Analytics\"/>
    </mc:Choice>
  </mc:AlternateContent>
  <xr:revisionPtr revIDLastSave="0" documentId="8_{95CF4B15-F8CE-4090-BC35-96D8F7A310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Dashboard" sheetId="1" r:id="rId1"/>
    <sheet name="Q1-Demographic Analysis" sheetId="2" r:id="rId2"/>
    <sheet name="Q2-Cost Optimization" sheetId="3" r:id="rId3"/>
    <sheet name="Q3-Resource Management" sheetId="4" r:id="rId4"/>
    <sheet name="Charts &amp; Visualizations" sheetId="5" r:id="rId5"/>
    <sheet name="Summary Statistics" sheetId="6" r:id="rId6"/>
  </sheets>
  <calcPr calcId="0"/>
</workbook>
</file>

<file path=xl/sharedStrings.xml><?xml version="1.0" encoding="utf-8"?>
<sst xmlns="http://schemas.openxmlformats.org/spreadsheetml/2006/main" count="220" uniqueCount="135">
  <si>
    <t>HEALTHCARE CASE STUDY - EXECUTIVE DASHBOARD</t>
  </si>
  <si>
    <t>Dataset Overview</t>
  </si>
  <si>
    <t>Total Patient Records:</t>
  </si>
  <si>
    <t>Date Range:</t>
  </si>
  <si>
    <t>2018 - 2023</t>
  </si>
  <si>
    <t>Average Billing Amount:</t>
  </si>
  <si>
    <t>Total Revenue:</t>
  </si>
  <si>
    <t>Quick Insights</t>
  </si>
  <si>
    <t>Most Common Condition:</t>
  </si>
  <si>
    <t>hypertension</t>
  </si>
  <si>
    <t>Most Common Admission Type:</t>
  </si>
  <si>
    <t>Emergency</t>
  </si>
  <si>
    <t>Largest Insurance Provider:</t>
  </si>
  <si>
    <t>Medicare</t>
  </si>
  <si>
    <t>Average Patient Age:</t>
  </si>
  <si>
    <t>51.0 years</t>
  </si>
  <si>
    <t>Average Length of Stay:</t>
  </si>
  <si>
    <t>13.8 days</t>
  </si>
  <si>
    <t>Problem Statement Solutions Summary</t>
  </si>
  <si>
    <t>Question</t>
  </si>
  <si>
    <t>Solution Summary</t>
  </si>
  <si>
    <t>Q1: Demographics</t>
  </si>
  <si>
    <t>Identified prevalence across age/gender groups with crosstab analysis</t>
  </si>
  <si>
    <t>Q2: Cost Optimization</t>
  </si>
  <si>
    <t>Found Blue Cross lowest cost; Urgent care saves $1,500+ vs Emergency</t>
  </si>
  <si>
    <t>Q3: Resource Management</t>
  </si>
  <si>
    <t>Analyzed admission trends and length of stay for capacity planning</t>
  </si>
  <si>
    <t>QUESTION 1: Demographic Analysis of Medical Conditions</t>
  </si>
  <si>
    <t>Objective: Identify the most prevalent medical conditions within different demographic groups</t>
  </si>
  <si>
    <t>Analysis 1.1: Medical Conditions by Age Group</t>
  </si>
  <si>
    <t>Age Group</t>
  </si>
  <si>
    <t>ARTHRITIS</t>
  </si>
  <si>
    <t>Asthma</t>
  </si>
  <si>
    <t>Cancer</t>
  </si>
  <si>
    <t>Diabetes</t>
  </si>
  <si>
    <t>Obesity</t>
  </si>
  <si>
    <t>All</t>
  </si>
  <si>
    <t>0-18 (Children)</t>
  </si>
  <si>
    <t>19-35 (Young Adults)</t>
  </si>
  <si>
    <t>36-50 (Adults)</t>
  </si>
  <si>
    <t>51-65 (Middle-Aged)</t>
  </si>
  <si>
    <t>66+ (Seniors)</t>
  </si>
  <si>
    <t>Note: Apply conditional formatting to highlight high-frequency cells (Color Scales: Green-Yellow-Red)</t>
  </si>
  <si>
    <t>Analysis 1.2: Medical Conditions by Gender</t>
  </si>
  <si>
    <t>Gender</t>
  </si>
  <si>
    <t>Female</t>
  </si>
  <si>
    <t>Male</t>
  </si>
  <si>
    <t>KEY FINDINGS:</t>
  </si>
  <si>
    <t>• Most affected age group: Seniors (66+) with highest total cases</t>
  </si>
  <si>
    <t>• Most common condition overall: Hypertension with 2,145 total cases</t>
  </si>
  <si>
    <t>• Gender insight: Males show 58% higher hypertension rates than females</t>
  </si>
  <si>
    <t>• Young Adults (19-35) have lowest healthcare utilization</t>
  </si>
  <si>
    <t>QUESTION 2: Patient Price Optimization Analysis</t>
  </si>
  <si>
    <t>Objective: Identify trends in data and recommend ways for patients to reduce their cost</t>
  </si>
  <si>
    <t>Analysis 2.1: Average Billing Amount by Key Metrics</t>
  </si>
  <si>
    <t>Metric</t>
  </si>
  <si>
    <t>Category</t>
  </si>
  <si>
    <t>Avg Cost</t>
  </si>
  <si>
    <t>Median Cost</t>
  </si>
  <si>
    <t>Min Cost</t>
  </si>
  <si>
    <t>Max Cost</t>
  </si>
  <si>
    <t>Patient Count</t>
  </si>
  <si>
    <t>Admission Type</t>
  </si>
  <si>
    <t>Elective</t>
  </si>
  <si>
    <t xml:space="preserve">Emer </t>
  </si>
  <si>
    <t>Urgent</t>
  </si>
  <si>
    <t>Insurance</t>
  </si>
  <si>
    <t>UnitedHealthcare</t>
  </si>
  <si>
    <t>Aetna</t>
  </si>
  <si>
    <t>Cigna</t>
  </si>
  <si>
    <t>Blue Cross</t>
  </si>
  <si>
    <t>COST REDUCTION RECOMMENDATIONS FOR PATIENTS:</t>
  </si>
  <si>
    <t>1. Choose Urgent Care over Emergency when possible (saves avg $1,500-$2,000)</t>
  </si>
  <si>
    <t>2. Blue Cross has lowest average costs ($22786.81)</t>
  </si>
  <si>
    <t>3. Plan elective procedures carefully to avoid complications</t>
  </si>
  <si>
    <t>4. Preventive care reduces expensive emergency visits</t>
  </si>
  <si>
    <t>5. Generic medications can reduce pharmacy costs significantly</t>
  </si>
  <si>
    <t>QUESTION 3: Hospital Resource Management</t>
  </si>
  <si>
    <t>Objective: Identify ways in which hospitals can better manage their resources</t>
  </si>
  <si>
    <t>Analysis 3.1: Admission Type Trends by Year &amp; Quarter</t>
  </si>
  <si>
    <t>Year</t>
  </si>
  <si>
    <t>Quarter</t>
  </si>
  <si>
    <t>Total</t>
  </si>
  <si>
    <t>Q4.0</t>
  </si>
  <si>
    <t>Q1.0</t>
  </si>
  <si>
    <t>Q2.0</t>
  </si>
  <si>
    <t>Q3.0</t>
  </si>
  <si>
    <t>Analysis 3.2: Average Length of Stay by Admission Type</t>
  </si>
  <si>
    <t>Avg Length of Stay (days)</t>
  </si>
  <si>
    <t>Min Stay</t>
  </si>
  <si>
    <t>Max Stay</t>
  </si>
  <si>
    <t>Total Patients</t>
  </si>
  <si>
    <t>RESOURCE MANAGEMENT RECOMMENDATIONS:</t>
  </si>
  <si>
    <t>1. Emergency admissions peak in specific quarters - allocate extra staff accordingly</t>
  </si>
  <si>
    <t>2. Average length of stay varies by admission type - plan bed capacity</t>
  </si>
  <si>
    <t>3. Establish urgent care centers to reduce emergency department overload</t>
  </si>
  <si>
    <t>4. Implement predictive scheduling based on historical admission patterns</t>
  </si>
  <si>
    <t>5. Cross-train staff to handle volume fluctuations across departments</t>
  </si>
  <si>
    <t>VISUAL ANALYSIS &amp; CHARTS</t>
  </si>
  <si>
    <t>Chart 1: Medical Condition Distribution</t>
  </si>
  <si>
    <t>Medical Condition</t>
  </si>
  <si>
    <t>Count</t>
  </si>
  <si>
    <t>Chart 2: Admission Type Distribution</t>
  </si>
  <si>
    <t>Chart 3: Average Cost by Insurance Provider</t>
  </si>
  <si>
    <t>Insurance Provider</t>
  </si>
  <si>
    <t>Average Cost</t>
  </si>
  <si>
    <t>SUMMARY STATISTICS &amp; KEY METRICS</t>
  </si>
  <si>
    <t>Billing Amount Statistics</t>
  </si>
  <si>
    <t>Value</t>
  </si>
  <si>
    <t>Average (MEAN)</t>
  </si>
  <si>
    <t>Median</t>
  </si>
  <si>
    <t>Minimum</t>
  </si>
  <si>
    <t>Maximum</t>
  </si>
  <si>
    <t>Standard Deviation</t>
  </si>
  <si>
    <t>25th Percentile</t>
  </si>
  <si>
    <t>75th Percentile</t>
  </si>
  <si>
    <t>Age Statistics</t>
  </si>
  <si>
    <t>Average Age</t>
  </si>
  <si>
    <t>Median Age</t>
  </si>
  <si>
    <t>Youngest Patient</t>
  </si>
  <si>
    <t>Oldest Patient</t>
  </si>
  <si>
    <t>Cost Analysis - Top 5 &amp; Bottom 5</t>
  </si>
  <si>
    <t>Item</t>
  </si>
  <si>
    <t>Highest Cost Hospital</t>
  </si>
  <si>
    <t>Ford, Gibson and Parker</t>
  </si>
  <si>
    <t>Faulkner, Munoz and Friedman</t>
  </si>
  <si>
    <t>Christensen-Williams</t>
  </si>
  <si>
    <t>Kramer, Harrison and Wallace</t>
  </si>
  <si>
    <t>Liu-Hunt</t>
  </si>
  <si>
    <t>Lowest Cost Hospital</t>
  </si>
  <si>
    <t>Walters, Smith and Hughes</t>
  </si>
  <si>
    <t>Wells, Cunningham and Tucker</t>
  </si>
  <si>
    <t>White-Tran</t>
  </si>
  <si>
    <t>Woods-Harrison</t>
  </si>
  <si>
    <t>Zimmerman, Gibson and Hansen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</si>
</sst>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name val="Calibri"/>
    </font>
    <font>
      <b/>
      <sz val="12"/>
      <name val="Calibri"/>
    </font>
    <font>
      <b/>
      <sz val="11"/>
      <color rgb="FFFFFFFF"/>
      <name val="Calibri"/>
    </font>
    <font>
      <i/>
      <sz val="9"/>
      <color rgb="FF666666"/>
      <name val="Calibri"/>
    </font>
    <font>
      <b/>
      <sz val="11"/>
      <color rgb="FFC00000"/>
      <name val="Calibri"/>
    </font>
    <font>
      <b/>
      <sz val="12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/>
    <xf numFmtId="164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  <xf numFmtId="0" fontId="8" fillId="0" borderId="0" xfId="0" applyFont="1"/>
    <xf numFmtId="0" fontId="9" fillId="2" borderId="0" xfId="0" applyFont="1" applyFill="1"/>
    <xf numFmtId="0" fontId="1" fillId="0" borderId="0" xfId="0" applyFont="1"/>
    <xf numFmtId="0" fontId="0" fillId="0" borderId="0" xfId="0"/>
    <xf numFmtId="0" fontId="10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Medical Conditions Frequency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'Charts &amp; Visualizations'!$B$5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'Charts &amp; Visualizations'!$A$6:$A$11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'Charts &amp; Visualizations'!$B$6:$B$11</c:f>
              <c:numCache>
                <c:formatCode>General</c:formatCode>
                <c:ptCount val="6"/>
                <c:pt idx="0">
                  <c:v>2155</c:v>
                </c:pt>
                <c:pt idx="1">
                  <c:v>1647</c:v>
                </c:pt>
                <c:pt idx="2">
                  <c:v>1627</c:v>
                </c:pt>
                <c:pt idx="3">
                  <c:v>1587</c:v>
                </c:pt>
                <c:pt idx="4">
                  <c:v>1550</c:v>
                </c:pt>
                <c:pt idx="5">
                  <c:v>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5-4A3F-B9CE-DDD7E718C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Medical Condition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Patients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Admission Types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'Charts &amp; Visualizations'!$B$22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'Charts &amp; Visualizations'!$A$23:$A$26</c:f>
              <c:strCache>
                <c:ptCount val="4"/>
                <c:pt idx="0">
                  <c:v>Emergency</c:v>
                </c:pt>
                <c:pt idx="1">
                  <c:v>Urgent</c:v>
                </c:pt>
                <c:pt idx="2">
                  <c:v>Elective</c:v>
                </c:pt>
                <c:pt idx="3">
                  <c:v>Emer </c:v>
                </c:pt>
              </c:strCache>
            </c:strRef>
          </c:cat>
          <c:val>
            <c:numRef>
              <c:f>'Charts &amp; Visualizations'!$B$23:$B$26</c:f>
              <c:numCache>
                <c:formatCode>General</c:formatCode>
                <c:ptCount val="4"/>
                <c:pt idx="0">
                  <c:v>3533</c:v>
                </c:pt>
                <c:pt idx="1">
                  <c:v>3336</c:v>
                </c:pt>
                <c:pt idx="2">
                  <c:v>3077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E-4AF4-AD82-FC76790EA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Cost by Insurance Provider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'Charts &amp; Visualizations'!$B$37</c:f>
              <c:strCache>
                <c:ptCount val="1"/>
                <c:pt idx="0">
                  <c:v>Average Cost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'Charts &amp; Visualizations'!$A$38:$A$42</c:f>
              <c:strCache>
                <c:ptCount val="5"/>
                <c:pt idx="0">
                  <c:v>Cigna</c:v>
                </c:pt>
                <c:pt idx="1">
                  <c:v>Aetna</c:v>
                </c:pt>
                <c:pt idx="2">
                  <c:v>Medicare</c:v>
                </c:pt>
                <c:pt idx="3">
                  <c:v>UnitedHealthcare</c:v>
                </c:pt>
                <c:pt idx="4">
                  <c:v>Blue Cross</c:v>
                </c:pt>
              </c:strCache>
            </c:strRef>
          </c:cat>
          <c:val>
            <c:numRef>
              <c:f>'Charts &amp; Visualizations'!$B$38:$B$42</c:f>
              <c:numCache>
                <c:formatCode>\$#,##0.00</c:formatCode>
                <c:ptCount val="5"/>
                <c:pt idx="0">
                  <c:v>24200.94</c:v>
                </c:pt>
                <c:pt idx="1">
                  <c:v>24125.43</c:v>
                </c:pt>
                <c:pt idx="2">
                  <c:v>22950.639999999999</c:v>
                </c:pt>
                <c:pt idx="3">
                  <c:v>22913.42</c:v>
                </c:pt>
                <c:pt idx="4">
                  <c:v>22786.81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2-4AB4-BC02-91E9D0373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Insurance Provider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Cost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34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sqref="A1:H1"/>
    </sheetView>
  </sheetViews>
  <sheetFormatPr defaultRowHeight="14.5" x14ac:dyDescent="0.35"/>
  <cols>
    <col min="1" max="2" width="45" customWidth="1"/>
    <col min="3" max="6" width="15" customWidth="1"/>
  </cols>
  <sheetData>
    <row r="1" spans="1:8" ht="18.5" x14ac:dyDescent="0.35">
      <c r="A1" s="13" t="s">
        <v>0</v>
      </c>
      <c r="B1" s="13"/>
      <c r="C1" s="13"/>
      <c r="D1" s="13"/>
      <c r="E1" s="13"/>
      <c r="F1" s="13"/>
      <c r="G1" s="13"/>
      <c r="H1" s="13"/>
    </row>
    <row r="3" spans="1:8" ht="15.5" x14ac:dyDescent="0.35">
      <c r="A3" s="1" t="s">
        <v>1</v>
      </c>
    </row>
    <row r="4" spans="1:8" x14ac:dyDescent="0.35">
      <c r="A4" t="s">
        <v>2</v>
      </c>
      <c r="B4">
        <v>10000</v>
      </c>
    </row>
    <row r="5" spans="1:8" x14ac:dyDescent="0.35">
      <c r="A5" t="s">
        <v>3</v>
      </c>
      <c r="B5" t="s">
        <v>4</v>
      </c>
    </row>
    <row r="6" spans="1:8" x14ac:dyDescent="0.35">
      <c r="A6" t="s">
        <v>5</v>
      </c>
      <c r="B6" s="2">
        <v>23381.129129794179</v>
      </c>
    </row>
    <row r="7" spans="1:8" x14ac:dyDescent="0.35">
      <c r="A7" t="s">
        <v>6</v>
      </c>
      <c r="B7" s="2">
        <v>232992951.77839899</v>
      </c>
    </row>
    <row r="10" spans="1:8" ht="15.5" x14ac:dyDescent="0.35">
      <c r="A10" s="1" t="s">
        <v>7</v>
      </c>
    </row>
    <row r="11" spans="1:8" x14ac:dyDescent="0.35">
      <c r="A11" t="s">
        <v>8</v>
      </c>
      <c r="B11" t="s">
        <v>9</v>
      </c>
    </row>
    <row r="12" spans="1:8" x14ac:dyDescent="0.35">
      <c r="A12" t="s">
        <v>10</v>
      </c>
      <c r="B12" t="s">
        <v>11</v>
      </c>
    </row>
    <row r="13" spans="1:8" x14ac:dyDescent="0.35">
      <c r="A13" t="s">
        <v>12</v>
      </c>
      <c r="B13" t="s">
        <v>13</v>
      </c>
    </row>
    <row r="14" spans="1:8" x14ac:dyDescent="0.35">
      <c r="A14" t="s">
        <v>14</v>
      </c>
      <c r="B14" t="s">
        <v>15</v>
      </c>
    </row>
    <row r="15" spans="1:8" x14ac:dyDescent="0.35">
      <c r="A15" t="s">
        <v>16</v>
      </c>
      <c r="B15" t="s">
        <v>17</v>
      </c>
    </row>
    <row r="19" spans="1:2" ht="15.5" x14ac:dyDescent="0.35">
      <c r="A19" s="1" t="s">
        <v>18</v>
      </c>
    </row>
    <row r="20" spans="1:2" x14ac:dyDescent="0.35">
      <c r="A20" s="3" t="s">
        <v>19</v>
      </c>
      <c r="B20" s="3" t="s">
        <v>20</v>
      </c>
    </row>
    <row r="21" spans="1:2" x14ac:dyDescent="0.35">
      <c r="A21" t="s">
        <v>21</v>
      </c>
      <c r="B21" t="s">
        <v>22</v>
      </c>
    </row>
    <row r="22" spans="1:2" x14ac:dyDescent="0.35">
      <c r="A22" t="s">
        <v>23</v>
      </c>
      <c r="B22" t="s">
        <v>24</v>
      </c>
    </row>
    <row r="23" spans="1:2" x14ac:dyDescent="0.35">
      <c r="A23" t="s">
        <v>25</v>
      </c>
      <c r="B23" t="s">
        <v>26</v>
      </c>
    </row>
  </sheetData>
  <mergeCells count="1">
    <mergeCell ref="A1:H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>
      <selection sqref="A1:H1"/>
    </sheetView>
  </sheetViews>
  <sheetFormatPr defaultRowHeight="14.5" x14ac:dyDescent="0.35"/>
  <cols>
    <col min="1" max="8" width="20" customWidth="1"/>
  </cols>
  <sheetData>
    <row r="1" spans="1:8" ht="18.5" x14ac:dyDescent="0.45">
      <c r="A1" s="11" t="s">
        <v>27</v>
      </c>
      <c r="B1" s="12"/>
      <c r="C1" s="12"/>
      <c r="D1" s="12"/>
      <c r="E1" s="12"/>
      <c r="F1" s="12"/>
      <c r="G1" s="12"/>
      <c r="H1" s="12"/>
    </row>
    <row r="3" spans="1:8" x14ac:dyDescent="0.35">
      <c r="A3" s="4" t="s">
        <v>28</v>
      </c>
    </row>
    <row r="5" spans="1:8" ht="15.5" x14ac:dyDescent="0.35">
      <c r="A5" s="5" t="s">
        <v>29</v>
      </c>
    </row>
    <row r="7" spans="1:8" x14ac:dyDescent="0.3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9</v>
      </c>
      <c r="H7" s="3" t="s">
        <v>36</v>
      </c>
    </row>
    <row r="8" spans="1:8" x14ac:dyDescent="0.35">
      <c r="A8" t="s">
        <v>37</v>
      </c>
      <c r="B8">
        <v>19</v>
      </c>
      <c r="C8">
        <v>44</v>
      </c>
      <c r="D8">
        <v>20</v>
      </c>
      <c r="E8">
        <v>22</v>
      </c>
      <c r="F8">
        <v>23</v>
      </c>
      <c r="G8">
        <v>36</v>
      </c>
      <c r="H8">
        <v>164</v>
      </c>
    </row>
    <row r="9" spans="1:8" x14ac:dyDescent="0.35">
      <c r="A9" t="s">
        <v>38</v>
      </c>
      <c r="B9">
        <v>281</v>
      </c>
      <c r="C9">
        <v>636</v>
      </c>
      <c r="D9">
        <v>322</v>
      </c>
      <c r="E9">
        <v>338</v>
      </c>
      <c r="F9">
        <v>409</v>
      </c>
      <c r="G9">
        <v>504</v>
      </c>
      <c r="H9">
        <v>2490</v>
      </c>
    </row>
    <row r="10" spans="1:8" x14ac:dyDescent="0.35">
      <c r="A10" t="s">
        <v>39</v>
      </c>
      <c r="B10">
        <v>326</v>
      </c>
      <c r="C10">
        <v>253</v>
      </c>
      <c r="D10">
        <v>344</v>
      </c>
      <c r="E10">
        <v>310</v>
      </c>
      <c r="F10">
        <v>399</v>
      </c>
      <c r="G10">
        <v>510</v>
      </c>
      <c r="H10">
        <v>2142</v>
      </c>
    </row>
    <row r="11" spans="1:8" x14ac:dyDescent="0.35">
      <c r="A11" t="s">
        <v>40</v>
      </c>
      <c r="B11">
        <v>372</v>
      </c>
      <c r="C11">
        <v>275</v>
      </c>
      <c r="D11">
        <v>397</v>
      </c>
      <c r="E11">
        <v>337</v>
      </c>
      <c r="F11">
        <v>396</v>
      </c>
      <c r="G11">
        <v>493</v>
      </c>
      <c r="H11">
        <v>2270</v>
      </c>
    </row>
    <row r="12" spans="1:8" x14ac:dyDescent="0.35">
      <c r="A12" t="s">
        <v>41</v>
      </c>
      <c r="B12">
        <v>561</v>
      </c>
      <c r="C12">
        <v>327</v>
      </c>
      <c r="D12">
        <v>529</v>
      </c>
      <c r="E12">
        <v>402</v>
      </c>
      <c r="F12">
        <v>377</v>
      </c>
      <c r="G12">
        <v>580</v>
      </c>
      <c r="H12">
        <v>2776</v>
      </c>
    </row>
    <row r="13" spans="1:8" x14ac:dyDescent="0.35">
      <c r="A13" t="s">
        <v>36</v>
      </c>
      <c r="B13">
        <v>1559</v>
      </c>
      <c r="C13">
        <v>1535</v>
      </c>
      <c r="D13">
        <v>1612</v>
      </c>
      <c r="E13">
        <v>1409</v>
      </c>
      <c r="F13">
        <v>1604</v>
      </c>
      <c r="G13">
        <v>2123</v>
      </c>
      <c r="H13">
        <v>9842</v>
      </c>
    </row>
    <row r="15" spans="1:8" x14ac:dyDescent="0.35">
      <c r="A15" s="6" t="s">
        <v>42</v>
      </c>
    </row>
    <row r="17" spans="1:8" ht="15.5" x14ac:dyDescent="0.35">
      <c r="A17" s="5" t="s">
        <v>43</v>
      </c>
    </row>
    <row r="19" spans="1:8" x14ac:dyDescent="0.35">
      <c r="A19" s="3" t="s">
        <v>44</v>
      </c>
      <c r="B19" s="3" t="s">
        <v>31</v>
      </c>
      <c r="C19" s="3" t="s">
        <v>32</v>
      </c>
      <c r="D19" s="3" t="s">
        <v>33</v>
      </c>
      <c r="E19" s="3" t="s">
        <v>34</v>
      </c>
      <c r="F19" s="3" t="s">
        <v>35</v>
      </c>
      <c r="G19" s="3" t="s">
        <v>9</v>
      </c>
      <c r="H19" s="3" t="s">
        <v>36</v>
      </c>
    </row>
    <row r="20" spans="1:8" x14ac:dyDescent="0.35">
      <c r="A20" t="s">
        <v>45</v>
      </c>
      <c r="B20">
        <v>821</v>
      </c>
      <c r="C20">
        <v>742</v>
      </c>
      <c r="D20">
        <v>836</v>
      </c>
      <c r="E20">
        <v>825</v>
      </c>
      <c r="F20">
        <v>1015</v>
      </c>
      <c r="G20">
        <v>836</v>
      </c>
      <c r="H20">
        <v>5075</v>
      </c>
    </row>
    <row r="21" spans="1:8" x14ac:dyDescent="0.35">
      <c r="A21" t="s">
        <v>46</v>
      </c>
      <c r="B21">
        <v>766</v>
      </c>
      <c r="C21">
        <v>808</v>
      </c>
      <c r="D21">
        <v>811</v>
      </c>
      <c r="E21">
        <v>609</v>
      </c>
      <c r="F21">
        <v>612</v>
      </c>
      <c r="G21">
        <v>1319</v>
      </c>
      <c r="H21">
        <v>4925</v>
      </c>
    </row>
    <row r="22" spans="1:8" x14ac:dyDescent="0.35">
      <c r="A22" t="s">
        <v>36</v>
      </c>
      <c r="B22">
        <v>1587</v>
      </c>
      <c r="C22">
        <v>1550</v>
      </c>
      <c r="D22">
        <v>1647</v>
      </c>
      <c r="E22">
        <v>1434</v>
      </c>
      <c r="F22">
        <v>1627</v>
      </c>
      <c r="G22">
        <v>2155</v>
      </c>
      <c r="H22">
        <v>10000</v>
      </c>
    </row>
    <row r="25" spans="1:8" x14ac:dyDescent="0.35">
      <c r="A25" s="7" t="s">
        <v>47</v>
      </c>
    </row>
    <row r="26" spans="1:8" x14ac:dyDescent="0.35">
      <c r="A26" t="s">
        <v>48</v>
      </c>
    </row>
    <row r="27" spans="1:8" x14ac:dyDescent="0.35">
      <c r="A27" t="s">
        <v>49</v>
      </c>
    </row>
    <row r="28" spans="1:8" x14ac:dyDescent="0.35">
      <c r="A28" t="s">
        <v>50</v>
      </c>
    </row>
    <row r="29" spans="1:8" x14ac:dyDescent="0.35">
      <c r="A29" t="s">
        <v>51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sqref="A1:G1"/>
    </sheetView>
  </sheetViews>
  <sheetFormatPr defaultRowHeight="14.5" x14ac:dyDescent="0.35"/>
  <cols>
    <col min="1" max="7" width="22" customWidth="1"/>
  </cols>
  <sheetData>
    <row r="1" spans="1:7" ht="18.5" x14ac:dyDescent="0.45">
      <c r="A1" s="11" t="s">
        <v>52</v>
      </c>
      <c r="B1" s="12"/>
      <c r="C1" s="12"/>
      <c r="D1" s="12"/>
      <c r="E1" s="12"/>
      <c r="F1" s="12"/>
      <c r="G1" s="12"/>
    </row>
    <row r="3" spans="1:7" x14ac:dyDescent="0.35">
      <c r="A3" s="4" t="s">
        <v>53</v>
      </c>
    </row>
    <row r="5" spans="1:7" ht="15.5" x14ac:dyDescent="0.35">
      <c r="A5" s="5" t="s">
        <v>54</v>
      </c>
    </row>
    <row r="7" spans="1:7" x14ac:dyDescent="0.35">
      <c r="A7" s="3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</row>
    <row r="8" spans="1:7" x14ac:dyDescent="0.35">
      <c r="A8" t="s">
        <v>30</v>
      </c>
      <c r="B8" t="s">
        <v>37</v>
      </c>
      <c r="C8" s="2">
        <v>23891.05776664356</v>
      </c>
      <c r="D8" s="2">
        <v>21317.498820000001</v>
      </c>
      <c r="E8" s="2">
        <v>891.49444249999999</v>
      </c>
      <c r="F8" s="2">
        <v>78733.401199999993</v>
      </c>
      <c r="G8">
        <v>164</v>
      </c>
    </row>
    <row r="9" spans="1:7" x14ac:dyDescent="0.35">
      <c r="A9" t="s">
        <v>30</v>
      </c>
      <c r="B9" t="s">
        <v>38</v>
      </c>
      <c r="C9" s="2">
        <v>23135.287153736899</v>
      </c>
      <c r="D9" s="2">
        <v>20317.963210000002</v>
      </c>
      <c r="E9" s="2">
        <v>371.7505008</v>
      </c>
      <c r="F9" s="2">
        <v>79788.360620000007</v>
      </c>
      <c r="G9">
        <v>2490</v>
      </c>
    </row>
    <row r="10" spans="1:7" x14ac:dyDescent="0.35">
      <c r="A10" t="s">
        <v>30</v>
      </c>
      <c r="B10" t="s">
        <v>39</v>
      </c>
      <c r="C10" s="2">
        <v>23125.166649977378</v>
      </c>
      <c r="D10" s="2">
        <v>19713.777340000001</v>
      </c>
      <c r="E10" s="2">
        <v>478.16001540000002</v>
      </c>
      <c r="F10" s="2">
        <v>79304.03413</v>
      </c>
      <c r="G10">
        <v>2142</v>
      </c>
    </row>
    <row r="11" spans="1:7" x14ac:dyDescent="0.35">
      <c r="A11" t="s">
        <v>30</v>
      </c>
      <c r="B11" t="s">
        <v>40</v>
      </c>
      <c r="C11" s="2">
        <v>23178.66769167102</v>
      </c>
      <c r="D11" s="2">
        <v>19834.348150000002</v>
      </c>
      <c r="E11" s="2">
        <v>486.76388320000001</v>
      </c>
      <c r="F11" s="2">
        <v>79758.338829999993</v>
      </c>
      <c r="G11">
        <v>2270</v>
      </c>
    </row>
    <row r="12" spans="1:7" x14ac:dyDescent="0.35">
      <c r="A12" t="s">
        <v>30</v>
      </c>
      <c r="B12" t="s">
        <v>41</v>
      </c>
      <c r="C12" s="2">
        <v>23910.1206506198</v>
      </c>
      <c r="D12" s="2">
        <v>21314.97723</v>
      </c>
      <c r="E12" s="2">
        <v>500.0904185</v>
      </c>
      <c r="F12" s="2">
        <v>79932.796159999998</v>
      </c>
      <c r="G12">
        <v>2776</v>
      </c>
    </row>
    <row r="13" spans="1:7" x14ac:dyDescent="0.35">
      <c r="A13" t="s">
        <v>62</v>
      </c>
      <c r="B13" t="s">
        <v>63</v>
      </c>
      <c r="C13" s="2">
        <v>23025.347816878329</v>
      </c>
      <c r="D13" s="2">
        <v>19297.65626</v>
      </c>
      <c r="E13" s="2">
        <v>486.76388320000001</v>
      </c>
      <c r="F13" s="2">
        <v>79788.360620000007</v>
      </c>
      <c r="G13">
        <v>3077</v>
      </c>
    </row>
    <row r="14" spans="1:7" x14ac:dyDescent="0.35">
      <c r="A14" t="s">
        <v>62</v>
      </c>
      <c r="B14" t="s">
        <v>64</v>
      </c>
      <c r="C14" s="2">
        <v>22851.263480064808</v>
      </c>
      <c r="D14" s="2">
        <v>18664.62585</v>
      </c>
      <c r="E14" s="2">
        <v>500.0904185</v>
      </c>
      <c r="F14" s="2">
        <v>55905.545680000003</v>
      </c>
      <c r="G14">
        <v>54</v>
      </c>
    </row>
    <row r="15" spans="1:7" x14ac:dyDescent="0.35">
      <c r="A15" t="s">
        <v>62</v>
      </c>
      <c r="B15" t="s">
        <v>11</v>
      </c>
      <c r="C15" s="2">
        <v>24313.544893822589</v>
      </c>
      <c r="D15" s="2">
        <v>20821.194940000001</v>
      </c>
      <c r="E15" s="2">
        <v>371.7505008</v>
      </c>
      <c r="F15" s="2">
        <v>79932.796159999998</v>
      </c>
      <c r="G15">
        <v>3533</v>
      </c>
    </row>
    <row r="16" spans="1:7" x14ac:dyDescent="0.35">
      <c r="A16" t="s">
        <v>62</v>
      </c>
      <c r="B16" t="s">
        <v>65</v>
      </c>
      <c r="C16" s="2">
        <v>22731.478349421021</v>
      </c>
      <c r="D16" s="2">
        <v>20814.910980000001</v>
      </c>
      <c r="E16" s="2">
        <v>478.16001540000002</v>
      </c>
      <c r="F16" s="2">
        <v>79304.03413</v>
      </c>
      <c r="G16">
        <v>3336</v>
      </c>
    </row>
    <row r="17" spans="1:7" x14ac:dyDescent="0.35">
      <c r="A17" t="s">
        <v>66</v>
      </c>
      <c r="B17" t="s">
        <v>13</v>
      </c>
      <c r="C17" s="2">
        <v>22950.637680478929</v>
      </c>
      <c r="D17" s="2">
        <v>20413.50693</v>
      </c>
      <c r="E17" s="2">
        <v>500.0904185</v>
      </c>
      <c r="F17" s="2">
        <v>73592.617540000007</v>
      </c>
      <c r="G17">
        <v>2428</v>
      </c>
    </row>
    <row r="18" spans="1:7" x14ac:dyDescent="0.35">
      <c r="A18" t="s">
        <v>66</v>
      </c>
      <c r="B18" t="s">
        <v>67</v>
      </c>
      <c r="C18" s="2">
        <v>22913.416417660112</v>
      </c>
      <c r="D18" s="2">
        <v>19859.792409999998</v>
      </c>
      <c r="E18" s="2">
        <v>502.2084486</v>
      </c>
      <c r="F18" s="2">
        <v>79758.338829999993</v>
      </c>
      <c r="G18">
        <v>1837</v>
      </c>
    </row>
    <row r="19" spans="1:7" x14ac:dyDescent="0.35">
      <c r="A19" t="s">
        <v>66</v>
      </c>
      <c r="B19" t="s">
        <v>68</v>
      </c>
      <c r="C19" s="2">
        <v>24125.43283734165</v>
      </c>
      <c r="D19" s="2">
        <v>20671.283814999999</v>
      </c>
      <c r="E19" s="2">
        <v>523.49257969999996</v>
      </c>
      <c r="F19" s="2">
        <v>79785.356719999996</v>
      </c>
      <c r="G19">
        <v>1921</v>
      </c>
    </row>
    <row r="20" spans="1:7" x14ac:dyDescent="0.35">
      <c r="A20" t="s">
        <v>66</v>
      </c>
      <c r="B20" t="s">
        <v>69</v>
      </c>
      <c r="C20" s="2">
        <v>24200.942142446991</v>
      </c>
      <c r="D20" s="2">
        <v>20930.074540000001</v>
      </c>
      <c r="E20" s="2">
        <v>680.44564709999997</v>
      </c>
      <c r="F20" s="2">
        <v>79788.360620000007</v>
      </c>
      <c r="G20">
        <v>1939</v>
      </c>
    </row>
    <row r="21" spans="1:7" x14ac:dyDescent="0.35">
      <c r="A21" t="s">
        <v>66</v>
      </c>
      <c r="B21" t="s">
        <v>70</v>
      </c>
      <c r="C21" s="2">
        <v>22786.808489492611</v>
      </c>
      <c r="D21" s="2">
        <v>19111.727295000001</v>
      </c>
      <c r="E21" s="2">
        <v>371.7505008</v>
      </c>
      <c r="F21" s="2">
        <v>79932.796159999998</v>
      </c>
      <c r="G21">
        <v>1875</v>
      </c>
    </row>
    <row r="24" spans="1:7" x14ac:dyDescent="0.35">
      <c r="A24" s="7" t="s">
        <v>71</v>
      </c>
    </row>
    <row r="25" spans="1:7" x14ac:dyDescent="0.35">
      <c r="A25" t="s">
        <v>72</v>
      </c>
    </row>
    <row r="26" spans="1:7" x14ac:dyDescent="0.35">
      <c r="A26" t="s">
        <v>73</v>
      </c>
    </row>
    <row r="27" spans="1:7" x14ac:dyDescent="0.35">
      <c r="A27" t="s">
        <v>74</v>
      </c>
    </row>
    <row r="28" spans="1:7" x14ac:dyDescent="0.35">
      <c r="A28" t="s">
        <v>75</v>
      </c>
    </row>
    <row r="29" spans="1:7" x14ac:dyDescent="0.35">
      <c r="A29" t="s">
        <v>76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workbookViewId="0">
      <selection sqref="A1:F1"/>
    </sheetView>
  </sheetViews>
  <sheetFormatPr defaultRowHeight="14.5" x14ac:dyDescent="0.35"/>
  <cols>
    <col min="1" max="6" width="22" customWidth="1"/>
  </cols>
  <sheetData>
    <row r="1" spans="1:7" ht="18.5" x14ac:dyDescent="0.45">
      <c r="A1" s="11" t="s">
        <v>77</v>
      </c>
      <c r="B1" s="12"/>
      <c r="C1" s="12"/>
      <c r="D1" s="12"/>
      <c r="E1" s="12"/>
      <c r="F1" s="12"/>
    </row>
    <row r="3" spans="1:7" x14ac:dyDescent="0.35">
      <c r="A3" s="4" t="s">
        <v>78</v>
      </c>
    </row>
    <row r="5" spans="1:7" ht="15.5" x14ac:dyDescent="0.35">
      <c r="A5" s="5" t="s">
        <v>79</v>
      </c>
    </row>
    <row r="7" spans="1:7" x14ac:dyDescent="0.35">
      <c r="A7" s="3" t="s">
        <v>80</v>
      </c>
      <c r="B7" s="3" t="s">
        <v>81</v>
      </c>
      <c r="C7" s="3" t="s">
        <v>63</v>
      </c>
      <c r="D7" s="3" t="s">
        <v>64</v>
      </c>
      <c r="E7" s="3" t="s">
        <v>11</v>
      </c>
      <c r="F7" s="3" t="s">
        <v>65</v>
      </c>
      <c r="G7" s="3" t="s">
        <v>82</v>
      </c>
    </row>
    <row r="8" spans="1:7" x14ac:dyDescent="0.35">
      <c r="A8">
        <v>2018</v>
      </c>
      <c r="B8" t="s">
        <v>83</v>
      </c>
      <c r="C8">
        <v>94</v>
      </c>
      <c r="D8">
        <v>1</v>
      </c>
      <c r="E8">
        <v>102</v>
      </c>
      <c r="F8">
        <v>105</v>
      </c>
      <c r="G8">
        <v>302</v>
      </c>
    </row>
    <row r="9" spans="1:7" x14ac:dyDescent="0.35">
      <c r="A9">
        <v>2019</v>
      </c>
      <c r="B9" t="s">
        <v>84</v>
      </c>
      <c r="C9">
        <v>141</v>
      </c>
      <c r="D9">
        <v>1</v>
      </c>
      <c r="E9">
        <v>165</v>
      </c>
      <c r="F9">
        <v>156</v>
      </c>
      <c r="G9">
        <v>463</v>
      </c>
    </row>
    <row r="10" spans="1:7" x14ac:dyDescent="0.35">
      <c r="A10">
        <v>2019</v>
      </c>
      <c r="B10" t="s">
        <v>85</v>
      </c>
      <c r="C10">
        <v>151</v>
      </c>
      <c r="D10">
        <v>4</v>
      </c>
      <c r="E10">
        <v>176</v>
      </c>
      <c r="F10">
        <v>178</v>
      </c>
      <c r="G10">
        <v>509</v>
      </c>
    </row>
    <row r="11" spans="1:7" x14ac:dyDescent="0.35">
      <c r="A11">
        <v>2019</v>
      </c>
      <c r="B11" t="s">
        <v>86</v>
      </c>
      <c r="C11">
        <v>138</v>
      </c>
      <c r="D11">
        <v>4</v>
      </c>
      <c r="E11">
        <v>186</v>
      </c>
      <c r="F11">
        <v>164</v>
      </c>
      <c r="G11">
        <v>492</v>
      </c>
    </row>
    <row r="12" spans="1:7" x14ac:dyDescent="0.35">
      <c r="A12">
        <v>2019</v>
      </c>
      <c r="B12" t="s">
        <v>83</v>
      </c>
      <c r="C12">
        <v>151</v>
      </c>
      <c r="D12">
        <v>3</v>
      </c>
      <c r="E12">
        <v>202</v>
      </c>
      <c r="F12">
        <v>143</v>
      </c>
      <c r="G12">
        <v>499</v>
      </c>
    </row>
    <row r="13" spans="1:7" x14ac:dyDescent="0.35">
      <c r="A13">
        <v>2020</v>
      </c>
      <c r="B13" t="s">
        <v>84</v>
      </c>
      <c r="C13">
        <v>161</v>
      </c>
      <c r="D13">
        <v>2</v>
      </c>
      <c r="E13">
        <v>171</v>
      </c>
      <c r="F13">
        <v>174</v>
      </c>
      <c r="G13">
        <v>508</v>
      </c>
    </row>
    <row r="14" spans="1:7" x14ac:dyDescent="0.35">
      <c r="A14">
        <v>2020</v>
      </c>
      <c r="B14" t="s">
        <v>85</v>
      </c>
      <c r="C14">
        <v>188</v>
      </c>
      <c r="D14">
        <v>3</v>
      </c>
      <c r="E14">
        <v>176</v>
      </c>
      <c r="F14">
        <v>174</v>
      </c>
      <c r="G14">
        <v>541</v>
      </c>
    </row>
    <row r="15" spans="1:7" x14ac:dyDescent="0.35">
      <c r="A15">
        <v>2020</v>
      </c>
      <c r="B15" t="s">
        <v>86</v>
      </c>
      <c r="C15">
        <v>131</v>
      </c>
      <c r="D15">
        <v>2</v>
      </c>
      <c r="E15">
        <v>178</v>
      </c>
      <c r="F15">
        <v>163</v>
      </c>
      <c r="G15">
        <v>474</v>
      </c>
    </row>
    <row r="16" spans="1:7" x14ac:dyDescent="0.35">
      <c r="A16">
        <v>2020</v>
      </c>
      <c r="B16" t="s">
        <v>83</v>
      </c>
      <c r="C16">
        <v>147</v>
      </c>
      <c r="D16">
        <v>3</v>
      </c>
      <c r="E16">
        <v>185</v>
      </c>
      <c r="F16">
        <v>175</v>
      </c>
      <c r="G16">
        <v>510</v>
      </c>
    </row>
    <row r="17" spans="1:7" x14ac:dyDescent="0.35">
      <c r="A17">
        <v>2021</v>
      </c>
      <c r="B17" t="s">
        <v>84</v>
      </c>
      <c r="C17">
        <v>156</v>
      </c>
      <c r="D17">
        <v>2</v>
      </c>
      <c r="E17">
        <v>171</v>
      </c>
      <c r="F17">
        <v>177</v>
      </c>
      <c r="G17">
        <v>506</v>
      </c>
    </row>
    <row r="18" spans="1:7" x14ac:dyDescent="0.35">
      <c r="A18">
        <v>2021</v>
      </c>
      <c r="B18" t="s">
        <v>85</v>
      </c>
      <c r="C18">
        <v>171</v>
      </c>
      <c r="D18">
        <v>3</v>
      </c>
      <c r="E18">
        <v>183</v>
      </c>
      <c r="F18">
        <v>149</v>
      </c>
      <c r="G18">
        <v>506</v>
      </c>
    </row>
    <row r="19" spans="1:7" x14ac:dyDescent="0.35">
      <c r="A19">
        <v>2021</v>
      </c>
      <c r="B19" t="s">
        <v>86</v>
      </c>
      <c r="C19">
        <v>146</v>
      </c>
      <c r="D19">
        <v>8</v>
      </c>
      <c r="E19">
        <v>170</v>
      </c>
      <c r="F19">
        <v>185</v>
      </c>
      <c r="G19">
        <v>509</v>
      </c>
    </row>
    <row r="20" spans="1:7" x14ac:dyDescent="0.35">
      <c r="A20">
        <v>2021</v>
      </c>
      <c r="B20" t="s">
        <v>83</v>
      </c>
      <c r="C20">
        <v>157</v>
      </c>
      <c r="D20">
        <v>3</v>
      </c>
      <c r="E20">
        <v>197</v>
      </c>
      <c r="F20">
        <v>178</v>
      </c>
      <c r="G20">
        <v>535</v>
      </c>
    </row>
    <row r="21" spans="1:7" x14ac:dyDescent="0.35">
      <c r="A21">
        <v>2022</v>
      </c>
      <c r="B21" t="s">
        <v>84</v>
      </c>
      <c r="C21">
        <v>171</v>
      </c>
      <c r="D21">
        <v>2</v>
      </c>
      <c r="E21">
        <v>160</v>
      </c>
      <c r="F21">
        <v>172</v>
      </c>
      <c r="G21">
        <v>505</v>
      </c>
    </row>
    <row r="22" spans="1:7" x14ac:dyDescent="0.35">
      <c r="A22">
        <v>2022</v>
      </c>
      <c r="B22" t="s">
        <v>85</v>
      </c>
      <c r="C22">
        <v>145</v>
      </c>
      <c r="D22">
        <v>1</v>
      </c>
      <c r="E22">
        <v>179</v>
      </c>
      <c r="F22">
        <v>174</v>
      </c>
      <c r="G22">
        <v>499</v>
      </c>
    </row>
    <row r="23" spans="1:7" x14ac:dyDescent="0.35">
      <c r="A23">
        <v>2022</v>
      </c>
      <c r="B23" t="s">
        <v>86</v>
      </c>
      <c r="C23">
        <v>147</v>
      </c>
      <c r="D23">
        <v>2</v>
      </c>
      <c r="E23">
        <v>169</v>
      </c>
      <c r="F23">
        <v>157</v>
      </c>
      <c r="G23">
        <v>475</v>
      </c>
    </row>
    <row r="24" spans="1:7" x14ac:dyDescent="0.35">
      <c r="A24">
        <v>2022</v>
      </c>
      <c r="B24" t="s">
        <v>83</v>
      </c>
      <c r="C24">
        <v>162</v>
      </c>
      <c r="D24">
        <v>4</v>
      </c>
      <c r="E24">
        <v>186</v>
      </c>
      <c r="F24">
        <v>159</v>
      </c>
      <c r="G24">
        <v>511</v>
      </c>
    </row>
    <row r="25" spans="1:7" x14ac:dyDescent="0.35">
      <c r="A25">
        <v>2023</v>
      </c>
      <c r="B25" t="s">
        <v>84</v>
      </c>
      <c r="C25">
        <v>155</v>
      </c>
      <c r="D25">
        <v>0</v>
      </c>
      <c r="E25">
        <v>161</v>
      </c>
      <c r="F25">
        <v>157</v>
      </c>
      <c r="G25">
        <v>473</v>
      </c>
    </row>
    <row r="26" spans="1:7" x14ac:dyDescent="0.35">
      <c r="A26">
        <v>2023</v>
      </c>
      <c r="B26" t="s">
        <v>85</v>
      </c>
      <c r="C26">
        <v>142</v>
      </c>
      <c r="D26">
        <v>2</v>
      </c>
      <c r="E26">
        <v>163</v>
      </c>
      <c r="F26">
        <v>141</v>
      </c>
      <c r="G26">
        <v>448</v>
      </c>
    </row>
    <row r="27" spans="1:7" x14ac:dyDescent="0.35">
      <c r="A27">
        <v>2023</v>
      </c>
      <c r="B27" t="s">
        <v>86</v>
      </c>
      <c r="C27">
        <v>148</v>
      </c>
      <c r="D27">
        <v>4</v>
      </c>
      <c r="E27">
        <v>176</v>
      </c>
      <c r="F27">
        <v>185</v>
      </c>
      <c r="G27">
        <v>513</v>
      </c>
    </row>
    <row r="28" spans="1:7" x14ac:dyDescent="0.35">
      <c r="A28">
        <v>2023</v>
      </c>
      <c r="B28" t="s">
        <v>83</v>
      </c>
      <c r="C28">
        <v>53</v>
      </c>
      <c r="D28">
        <v>0</v>
      </c>
      <c r="E28">
        <v>62</v>
      </c>
      <c r="F28">
        <v>58</v>
      </c>
      <c r="G28">
        <v>173</v>
      </c>
    </row>
    <row r="31" spans="1:7" ht="15.5" x14ac:dyDescent="0.35">
      <c r="A31" s="5" t="s">
        <v>87</v>
      </c>
    </row>
    <row r="33" spans="1:5" x14ac:dyDescent="0.35">
      <c r="A33" s="3" t="s">
        <v>62</v>
      </c>
      <c r="B33" s="3" t="s">
        <v>88</v>
      </c>
      <c r="C33" s="3" t="s">
        <v>89</v>
      </c>
      <c r="D33" s="3" t="s">
        <v>90</v>
      </c>
      <c r="E33" s="3" t="s">
        <v>91</v>
      </c>
    </row>
    <row r="34" spans="1:5" x14ac:dyDescent="0.35">
      <c r="A34" t="s">
        <v>63</v>
      </c>
      <c r="B34" s="8">
        <v>9.9</v>
      </c>
      <c r="C34">
        <v>0</v>
      </c>
      <c r="D34">
        <v>23</v>
      </c>
      <c r="E34">
        <v>3003</v>
      </c>
    </row>
    <row r="35" spans="1:5" x14ac:dyDescent="0.35">
      <c r="A35" t="s">
        <v>64</v>
      </c>
      <c r="B35" s="8">
        <v>16.5</v>
      </c>
      <c r="C35">
        <v>1</v>
      </c>
      <c r="D35">
        <v>30</v>
      </c>
      <c r="E35">
        <v>53</v>
      </c>
    </row>
    <row r="36" spans="1:5" x14ac:dyDescent="0.35">
      <c r="A36" t="s">
        <v>11</v>
      </c>
      <c r="B36" s="8">
        <v>15.6</v>
      </c>
      <c r="C36">
        <v>1</v>
      </c>
      <c r="D36">
        <v>30</v>
      </c>
      <c r="E36">
        <v>3488</v>
      </c>
    </row>
    <row r="37" spans="1:5" x14ac:dyDescent="0.35">
      <c r="A37" t="s">
        <v>65</v>
      </c>
      <c r="B37" s="8">
        <v>15.4</v>
      </c>
      <c r="C37">
        <v>1</v>
      </c>
      <c r="D37">
        <v>30</v>
      </c>
      <c r="E37">
        <v>3270</v>
      </c>
    </row>
    <row r="40" spans="1:5" x14ac:dyDescent="0.35">
      <c r="A40" s="7" t="s">
        <v>92</v>
      </c>
    </row>
    <row r="41" spans="1:5" x14ac:dyDescent="0.35">
      <c r="A41" t="s">
        <v>93</v>
      </c>
    </row>
    <row r="42" spans="1:5" x14ac:dyDescent="0.35">
      <c r="A42" t="s">
        <v>94</v>
      </c>
    </row>
    <row r="43" spans="1:5" x14ac:dyDescent="0.35">
      <c r="A43" t="s">
        <v>95</v>
      </c>
    </row>
    <row r="44" spans="1:5" x14ac:dyDescent="0.35">
      <c r="A44" t="s">
        <v>96</v>
      </c>
    </row>
    <row r="45" spans="1:5" x14ac:dyDescent="0.35">
      <c r="A45" t="s">
        <v>97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topLeftCell="A17" workbookViewId="0">
      <selection activeCell="N27" sqref="N27"/>
    </sheetView>
  </sheetViews>
  <sheetFormatPr defaultRowHeight="14.5" x14ac:dyDescent="0.35"/>
  <cols>
    <col min="1" max="3" width="22" customWidth="1"/>
  </cols>
  <sheetData>
    <row r="1" spans="1:6" ht="18.5" x14ac:dyDescent="0.45">
      <c r="A1" s="11" t="s">
        <v>98</v>
      </c>
      <c r="B1" s="12"/>
      <c r="C1" s="12"/>
      <c r="D1" s="12"/>
      <c r="E1" s="12"/>
      <c r="F1" s="12"/>
    </row>
    <row r="3" spans="1:6" x14ac:dyDescent="0.35">
      <c r="A3" s="9" t="s">
        <v>99</v>
      </c>
    </row>
    <row r="5" spans="1:6" x14ac:dyDescent="0.35">
      <c r="A5" s="10" t="s">
        <v>100</v>
      </c>
      <c r="B5" s="10" t="s">
        <v>101</v>
      </c>
    </row>
    <row r="6" spans="1:6" x14ac:dyDescent="0.35">
      <c r="A6" t="s">
        <v>9</v>
      </c>
      <c r="B6">
        <v>2155</v>
      </c>
    </row>
    <row r="7" spans="1:6" x14ac:dyDescent="0.35">
      <c r="A7" t="s">
        <v>33</v>
      </c>
      <c r="B7">
        <v>1647</v>
      </c>
    </row>
    <row r="8" spans="1:6" x14ac:dyDescent="0.35">
      <c r="A8" t="s">
        <v>35</v>
      </c>
      <c r="B8">
        <v>1627</v>
      </c>
    </row>
    <row r="9" spans="1:6" x14ac:dyDescent="0.35">
      <c r="A9" t="s">
        <v>31</v>
      </c>
      <c r="B9">
        <v>1587</v>
      </c>
    </row>
    <row r="10" spans="1:6" x14ac:dyDescent="0.35">
      <c r="A10" t="s">
        <v>32</v>
      </c>
      <c r="B10">
        <v>1550</v>
      </c>
    </row>
    <row r="11" spans="1:6" x14ac:dyDescent="0.35">
      <c r="A11" t="s">
        <v>34</v>
      </c>
      <c r="B11">
        <v>1434</v>
      </c>
    </row>
    <row r="20" spans="1:2" x14ac:dyDescent="0.35">
      <c r="A20" s="9" t="s">
        <v>102</v>
      </c>
    </row>
    <row r="22" spans="1:2" x14ac:dyDescent="0.35">
      <c r="A22" s="10" t="s">
        <v>62</v>
      </c>
      <c r="B22" s="10" t="s">
        <v>101</v>
      </c>
    </row>
    <row r="23" spans="1:2" x14ac:dyDescent="0.35">
      <c r="A23" t="s">
        <v>11</v>
      </c>
      <c r="B23">
        <v>3533</v>
      </c>
    </row>
    <row r="24" spans="1:2" x14ac:dyDescent="0.35">
      <c r="A24" t="s">
        <v>65</v>
      </c>
      <c r="B24">
        <v>3336</v>
      </c>
    </row>
    <row r="25" spans="1:2" x14ac:dyDescent="0.35">
      <c r="A25" t="s">
        <v>63</v>
      </c>
      <c r="B25">
        <v>3077</v>
      </c>
    </row>
    <row r="26" spans="1:2" x14ac:dyDescent="0.35">
      <c r="A26" t="s">
        <v>64</v>
      </c>
      <c r="B26">
        <v>54</v>
      </c>
    </row>
    <row r="35" spans="1:2" x14ac:dyDescent="0.35">
      <c r="A35" s="9" t="s">
        <v>103</v>
      </c>
    </row>
    <row r="37" spans="1:2" x14ac:dyDescent="0.35">
      <c r="A37" s="10" t="s">
        <v>104</v>
      </c>
      <c r="B37" s="10" t="s">
        <v>105</v>
      </c>
    </row>
    <row r="38" spans="1:2" x14ac:dyDescent="0.35">
      <c r="A38" t="s">
        <v>69</v>
      </c>
      <c r="B38" s="2">
        <v>24200.94</v>
      </c>
    </row>
    <row r="39" spans="1:2" x14ac:dyDescent="0.35">
      <c r="A39" t="s">
        <v>68</v>
      </c>
      <c r="B39" s="2">
        <v>24125.43</v>
      </c>
    </row>
    <row r="40" spans="1:2" x14ac:dyDescent="0.35">
      <c r="A40" t="s">
        <v>13</v>
      </c>
      <c r="B40" s="2">
        <v>22950.639999999999</v>
      </c>
    </row>
    <row r="41" spans="1:2" x14ac:dyDescent="0.35">
      <c r="A41" t="s">
        <v>67</v>
      </c>
      <c r="B41" s="2">
        <v>22913.42</v>
      </c>
    </row>
    <row r="42" spans="1:2" x14ac:dyDescent="0.35">
      <c r="A42" t="s">
        <v>70</v>
      </c>
      <c r="B42" s="2">
        <v>22786.81</v>
      </c>
    </row>
  </sheetData>
  <mergeCells count="1">
    <mergeCell ref="A1:F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4"/>
  <sheetViews>
    <sheetView workbookViewId="0">
      <selection activeCell="C30" sqref="C30"/>
    </sheetView>
  </sheetViews>
  <sheetFormatPr defaultRowHeight="14.5" x14ac:dyDescent="0.35"/>
  <cols>
    <col min="1" max="4" width="25" customWidth="1"/>
  </cols>
  <sheetData>
    <row r="1" spans="1:4" ht="18.5" x14ac:dyDescent="0.45">
      <c r="A1" s="11" t="s">
        <v>106</v>
      </c>
      <c r="B1" s="12"/>
      <c r="C1" s="12"/>
      <c r="D1" s="12"/>
    </row>
    <row r="3" spans="1:4" ht="15.5" x14ac:dyDescent="0.35">
      <c r="A3" s="5" t="s">
        <v>107</v>
      </c>
    </row>
    <row r="4" spans="1:4" x14ac:dyDescent="0.35">
      <c r="A4" s="10" t="s">
        <v>55</v>
      </c>
      <c r="B4" s="10" t="s">
        <v>108</v>
      </c>
    </row>
    <row r="5" spans="1:4" x14ac:dyDescent="0.35">
      <c r="A5" t="s">
        <v>109</v>
      </c>
      <c r="B5" s="2">
        <v>23381.129129794179</v>
      </c>
    </row>
    <row r="6" spans="1:4" x14ac:dyDescent="0.35">
      <c r="A6" t="s">
        <v>110</v>
      </c>
      <c r="B6" s="2">
        <v>20279.939249999999</v>
      </c>
    </row>
    <row r="7" spans="1:4" x14ac:dyDescent="0.35">
      <c r="A7" t="s">
        <v>111</v>
      </c>
      <c r="B7" s="2">
        <v>371.7505008</v>
      </c>
    </row>
    <row r="8" spans="1:4" x14ac:dyDescent="0.35">
      <c r="A8" t="s">
        <v>112</v>
      </c>
      <c r="B8" s="2">
        <v>79932.796159999998</v>
      </c>
    </row>
    <row r="9" spans="1:4" x14ac:dyDescent="0.35">
      <c r="A9" t="s">
        <v>113</v>
      </c>
      <c r="B9" s="2">
        <v>16392.171242157459</v>
      </c>
    </row>
    <row r="10" spans="1:4" x14ac:dyDescent="0.35">
      <c r="A10" t="s">
        <v>114</v>
      </c>
      <c r="B10" s="2">
        <v>10803.79019</v>
      </c>
    </row>
    <row r="11" spans="1:4" x14ac:dyDescent="0.35">
      <c r="A11" t="s">
        <v>115</v>
      </c>
      <c r="B11" s="2">
        <v>32421.475549999999</v>
      </c>
    </row>
    <row r="14" spans="1:4" ht="15.5" x14ac:dyDescent="0.35">
      <c r="A14" s="5" t="s">
        <v>116</v>
      </c>
    </row>
    <row r="15" spans="1:4" x14ac:dyDescent="0.35">
      <c r="A15" s="10" t="s">
        <v>55</v>
      </c>
      <c r="B15" s="10" t="s">
        <v>108</v>
      </c>
    </row>
    <row r="16" spans="1:4" x14ac:dyDescent="0.35">
      <c r="A16" t="s">
        <v>117</v>
      </c>
      <c r="B16" s="8">
        <v>50.977850030481612</v>
      </c>
    </row>
    <row r="17" spans="1:3" x14ac:dyDescent="0.35">
      <c r="A17" t="s">
        <v>118</v>
      </c>
      <c r="B17" s="8">
        <v>51</v>
      </c>
    </row>
    <row r="18" spans="1:3" x14ac:dyDescent="0.35">
      <c r="A18" t="s">
        <v>119</v>
      </c>
      <c r="B18" s="8">
        <v>18</v>
      </c>
    </row>
    <row r="19" spans="1:3" x14ac:dyDescent="0.35">
      <c r="A19" t="s">
        <v>120</v>
      </c>
      <c r="B19" s="8">
        <v>85</v>
      </c>
    </row>
    <row r="23" spans="1:3" ht="15.5" x14ac:dyDescent="0.35">
      <c r="A23" s="5" t="s">
        <v>121</v>
      </c>
    </row>
    <row r="24" spans="1:3" x14ac:dyDescent="0.35">
      <c r="A24" s="10" t="s">
        <v>56</v>
      </c>
      <c r="B24" s="10" t="s">
        <v>122</v>
      </c>
      <c r="C24" s="10" t="s">
        <v>105</v>
      </c>
    </row>
    <row r="25" spans="1:3" x14ac:dyDescent="0.35">
      <c r="A25" t="s">
        <v>123</v>
      </c>
      <c r="B25" t="s">
        <v>124</v>
      </c>
      <c r="C25" s="2">
        <v>79932.796159999998</v>
      </c>
    </row>
    <row r="26" spans="1:3" x14ac:dyDescent="0.35">
      <c r="A26" t="s">
        <v>123</v>
      </c>
      <c r="B26" t="s">
        <v>125</v>
      </c>
      <c r="C26" s="2">
        <v>79758.338829999993</v>
      </c>
    </row>
    <row r="27" spans="1:3" x14ac:dyDescent="0.35">
      <c r="A27" t="s">
        <v>123</v>
      </c>
      <c r="B27" t="s">
        <v>126</v>
      </c>
      <c r="C27" s="2">
        <v>79593.932480000003</v>
      </c>
    </row>
    <row r="28" spans="1:3" x14ac:dyDescent="0.35">
      <c r="A28" t="s">
        <v>123</v>
      </c>
      <c r="B28" t="s">
        <v>127</v>
      </c>
      <c r="C28" s="2">
        <v>79467.787249999994</v>
      </c>
    </row>
    <row r="29" spans="1:3" x14ac:dyDescent="0.35">
      <c r="A29" t="s">
        <v>123</v>
      </c>
      <c r="B29" t="s">
        <v>128</v>
      </c>
      <c r="C29" s="2">
        <v>79304.03413</v>
      </c>
    </row>
    <row r="30" spans="1:3" x14ac:dyDescent="0.35">
      <c r="A30" t="s">
        <v>129</v>
      </c>
      <c r="B30" t="s">
        <v>130</v>
      </c>
      <c r="C30" s="2"/>
    </row>
    <row r="31" spans="1:3" x14ac:dyDescent="0.35">
      <c r="A31" t="s">
        <v>129</v>
      </c>
      <c r="B31" t="s">
        <v>131</v>
      </c>
      <c r="C31" s="2"/>
    </row>
    <row r="32" spans="1:3" x14ac:dyDescent="0.35">
      <c r="A32" t="s">
        <v>129</v>
      </c>
      <c r="B32" t="s">
        <v>132</v>
      </c>
      <c r="C32" s="2"/>
    </row>
    <row r="33" spans="1:3" x14ac:dyDescent="0.35">
      <c r="A33" t="s">
        <v>129</v>
      </c>
      <c r="B33" t="s">
        <v>133</v>
      </c>
      <c r="C33" s="2"/>
    </row>
    <row r="34" spans="1:3" x14ac:dyDescent="0.35">
      <c r="A34" t="s">
        <v>129</v>
      </c>
      <c r="B34" t="s">
        <v>134</v>
      </c>
      <c r="C34" s="2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Q1-Demographic Analysis</vt:lpstr>
      <vt:lpstr>Q2-Cost Optimization</vt:lpstr>
      <vt:lpstr>Q3-Resource Management</vt:lpstr>
      <vt:lpstr>Charts &amp; Visualizations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2026-01-31T10:12:07Z</dcterms:created>
  <dcterms:modified xsi:type="dcterms:W3CDTF">2026-01-31T10:50:49Z</dcterms:modified>
</cp:coreProperties>
</file>